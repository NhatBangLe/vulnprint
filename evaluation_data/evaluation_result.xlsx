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eriment_1" sheetId="1" r:id="rId5"/>
    <sheet state="visible" name="Experiment_2" sheetId="2" r:id="rId6"/>
    <sheet state="visible" name="Experiment_3" sheetId="3" r:id="rId7"/>
  </sheets>
  <definedNames/>
  <calcPr/>
</workbook>
</file>

<file path=xl/sharedStrings.xml><?xml version="1.0" encoding="utf-8"?>
<sst xmlns="http://schemas.openxmlformats.org/spreadsheetml/2006/main" count="135" uniqueCount="90">
  <si>
    <t>STT</t>
  </si>
  <si>
    <t>Ngày thực hiện: 13/8/2026</t>
  </si>
  <si>
    <t>Lần thu mẫu</t>
  </si>
  <si>
    <t>MSF Module Path</t>
  </si>
  <si>
    <t>Tổng số bước</t>
  </si>
  <si>
    <t>Số bước thành công</t>
  </si>
  <si>
    <t>Tỉ lệ</t>
  </si>
  <si>
    <t>Ngày hoàn thành 13/8/2026</t>
  </si>
  <si>
    <t>Exploit thành công</t>
  </si>
  <si>
    <t>Tổng số module</t>
  </si>
  <si>
    <t>Số module tạo guideline thành công</t>
  </si>
  <si>
    <t>Ghi chú</t>
  </si>
  <si>
    <t>Số lượng tối thiểu VM guideline cần để bao phủ toàn bộ</t>
  </si>
  <si>
    <t>Số lượng OS guideline</t>
  </si>
  <si>
    <t>Cân nhắc</t>
  </si>
  <si>
    <t>Số lượng module nhiều nhất được bao phủ trong 1 VM guideline</t>
  </si>
  <si>
    <t>Số lượng module nhiều nhất cùng software</t>
  </si>
  <si>
    <t>Tỉ lệ module xuất hiện trong năm 2026</t>
  </si>
  <si>
    <t>Tỉ lệ module xuất hiện trong năm 2025</t>
  </si>
  <si>
    <t>Tỉ lệ module xuất hiện trong năm 2024</t>
  </si>
  <si>
    <t>MSF Module</t>
  </si>
  <si>
    <t>Năm</t>
  </si>
  <si>
    <t>Vulhub</t>
  </si>
  <si>
    <t>0.58</t>
  </si>
  <si>
    <t>0.42</t>
  </si>
  <si>
    <t>exploit/linux/http/dalfox_server_rce_cve_2026_45087</t>
  </si>
  <si>
    <t>Metasploitable3</t>
  </si>
  <si>
    <t>Dùng cho ex2</t>
  </si>
  <si>
    <t>Vulnprint</t>
  </si>
  <si>
    <t>Module Coverage</t>
  </si>
  <si>
    <t>Novel CVE Support
(2025-2026)</t>
  </si>
  <si>
    <t>exploit/freebsd/misc/rtsold_dnssl_cmdinject</t>
  </si>
  <si>
    <t>Có thể chạy</t>
  </si>
  <si>
    <t>exploit/linux/http/eclipse_che_machine_exec_rce</t>
  </si>
  <si>
    <t>exploit/linux/http/opendcim_install_sqli_rce</t>
  </si>
  <si>
    <t>Tổng số đã test</t>
  </si>
  <si>
    <t>exploit/linux/http/paperclipai_unauth_rce_cve_2026_41679</t>
  </si>
  <si>
    <t>Chưa đề cập rõ cách cài phần phụ thuộc (PostgreSQL)</t>
  </si>
  <si>
    <t>Tổng số exploit thành công</t>
  </si>
  <si>
    <t>exploit/linux/http/tacticalrmm_ssti_rce_cve_2025_69516</t>
  </si>
  <si>
    <t>exploit/linux/http/avideo_encoder_getimage_cmd_injection</t>
  </si>
  <si>
    <t>exploit/linux/local/cve_2026_31431_copy_fail</t>
  </si>
  <si>
    <t>exploit/linux/local/cve_2026_43284_dirty_frag</t>
  </si>
  <si>
    <t>exploit/linux/local/cve_2026_43500_dirty_frag</t>
  </si>
  <si>
    <t>exploit/linux/local/cve_2026_46300_fragnesia</t>
  </si>
  <si>
    <t>exploit/linux/http/beyondtrust_pra_rs_command_injection</t>
  </si>
  <si>
    <t>exploit/linux/persistence/emacs_extension</t>
  </si>
  <si>
    <t>exploit/multi/http/apache_activemq_jolokia_rce</t>
  </si>
  <si>
    <t>exploit/linux/http/control_web_panel_api_cmd_exec</t>
  </si>
  <si>
    <t>Một số ít câu lệnh trong bước 8 thiếu tham số nhưng dễ nhận biết và bổ sung</t>
  </si>
  <si>
    <t>exploit/multi/http/avideo_notify_ffmpeg_unauth_rce</t>
  </si>
  <si>
    <t>1. Chỉ dẫn clone repo tại thư mục đòi quyền root nhưng ko dùng sudo
2. Package tải về có vấn đề, không chạy được</t>
  </si>
  <si>
    <t>exploit/multi/http/churchcrm_db_restore_rce</t>
  </si>
  <si>
    <t>exploit/multi/http/churchcrm_install_unauth_rce</t>
  </si>
  <si>
    <t>exploit/multi/http/flowise_auth_rce_cve_2026_41264</t>
  </si>
  <si>
    <t>Chỉ dẫn tạo API key thiếu quyền chatflows:delete</t>
  </si>
  <si>
    <t>exploit/multi/http/freescout_htaccess_rce</t>
  </si>
  <si>
    <t>exploit/multi/http/gogs_rebase_rce</t>
  </si>
  <si>
    <t>Cung cấp package URI sai (thiếu chữ v)</t>
  </si>
  <si>
    <t>exploit/multi/http/grav_twig_ssti_sandbox_bypass_rce</t>
  </si>
  <si>
    <t>bước 6.2 và 6.3 không cần thiết</t>
  </si>
  <si>
    <t>exploit/multi/http/langflow_rce_cve_2026_27966</t>
  </si>
  <si>
    <t>exploit/multi/http/majordomo_cmd_injection_rce</t>
  </si>
  <si>
    <t>exploit/linux/http/fortinet_fortiweb_rce</t>
  </si>
  <si>
    <t>exploit/multi/http/majordomo_console_eval_rce</t>
  </si>
  <si>
    <t>exploit/multi/http/majordomo_supply_chain_rce</t>
  </si>
  <si>
    <t>exploit/multi/http/os_cmd_exec</t>
  </si>
  <si>
    <t>exploit/multi/http/react2shell_unauth_rce_cve_2025_55182</t>
  </si>
  <si>
    <t>exploit/linux/http/grandstream_gxp1600_unauth_rce</t>
  </si>
  <si>
    <t>exploit/multi/http/taiga_tribe_gig_unserial</t>
  </si>
  <si>
    <t>exploit/multi/http/wp_acf_extended_rce</t>
  </si>
  <si>
    <t>exploit/linux/http/hpe_oneview_rce</t>
  </si>
  <si>
    <t>exploit/multi/http/wp_ai_engine_mcp_rce</t>
  </si>
  <si>
    <t>exploit/multi/http/wp_king_addons_privilege_escalation</t>
  </si>
  <si>
    <t>exploit/multi/http/wp_plugin_pix_unauth_rce_cve_2026_3891</t>
  </si>
  <si>
    <t>exploit/multi/http/wp_plugin_supsystic_contact_form_rce</t>
  </si>
  <si>
    <t>exploit/linux/http/ivanti_epmm_rce</t>
  </si>
  <si>
    <t>exploit/multi/http/xerte_unauthenticated_mediaupload</t>
  </si>
  <si>
    <t>exploit/unix/http/freepbx_custom_extension_rce</t>
  </si>
  <si>
    <t>exploit/unix/http/freepbx_filestore_cmd_injection</t>
  </si>
  <si>
    <t>exploit/unix/http/freepbx_firmware_file_upload</t>
  </si>
  <si>
    <t>exploit/linux/misc/poly_unauth_rce_cve_2026_0826</t>
  </si>
  <si>
    <t>exploit/multi/http/cpanel_whm_auth_bypass_rce</t>
  </si>
  <si>
    <t>exploit/multi/http/joomla_com_jce_unauth_file_upload_rce</t>
  </si>
  <si>
    <t>exploit/multi/http/magento_sessionreaper</t>
  </si>
  <si>
    <t>exploit/multi/http/monsta_ftp_downloadfile_rce</t>
  </si>
  <si>
    <t>exploit/multi/http/smartermail_guid_file_upload</t>
  </si>
  <si>
    <t>exploit/multi/http/solarwinds_webhelpdesk_rce</t>
  </si>
  <si>
    <t>exploit/windows/http/wsus_deserialization_rce</t>
  </si>
  <si>
    <t>Tổng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</si>
</sst>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1.0"/>
      <color rgb="FF000000"/>
      <name val="Calibri"/>
    </font>
    <font>
      <color theme="1"/>
      <name val="Arial"/>
      <scheme val="minor"/>
    </font>
    <font>
      <b/>
      <color theme="1"/>
      <name val="Arial"/>
      <scheme val="minor"/>
    </font>
    <font>
      <sz val="11.0"/>
      <color rgb="FF000000"/>
      <name val="Calibri"/>
    </font>
    <font/>
  </fonts>
  <fills count="6">
    <fill>
      <patternFill patternType="none"/>
    </fill>
    <fill>
      <patternFill patternType="lightGray"/>
    </fill>
    <fill>
      <patternFill patternType="solid">
        <fgColor theme="6"/>
        <bgColor theme="6"/>
      </patternFill>
    </fill>
    <fill>
      <patternFill patternType="solid">
        <fgColor theme="4"/>
        <bgColor theme="4"/>
      </patternFill>
    </fill>
    <fill>
      <patternFill patternType="solid">
        <fgColor rgb="FFFFFF00"/>
        <bgColor rgb="FFFFFF00"/>
      </patternFill>
    </fill>
    <fill>
      <patternFill patternType="solid">
        <fgColor rgb="FF93C47D"/>
        <bgColor rgb="FF93C47D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wrapText="0"/>
    </xf>
    <xf borderId="0" fillId="0" fontId="2" numFmtId="0" xfId="0" applyAlignment="1" applyFont="1">
      <alignment readingOrder="0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1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vertical="center"/>
    </xf>
    <xf borderId="1" fillId="0" fontId="3" numFmtId="0" xfId="0" applyAlignment="1" applyBorder="1" applyFont="1">
      <alignment horizontal="center" readingOrder="0"/>
    </xf>
    <xf borderId="0" fillId="2" fontId="2" numFmtId="0" xfId="0" applyAlignment="1" applyFill="1" applyFont="1">
      <alignment readingOrder="0"/>
    </xf>
    <xf borderId="2" fillId="2" fontId="3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right" readingOrder="0" shrinkToFit="0" vertical="bottom" wrapText="0"/>
    </xf>
    <xf borderId="0" fillId="0" fontId="2" numFmtId="0" xfId="0" applyFont="1"/>
    <xf borderId="1" fillId="0" fontId="2" numFmtId="0" xfId="0" applyBorder="1" applyFont="1"/>
    <xf borderId="3" fillId="2" fontId="3" numFmtId="0" xfId="0" applyAlignment="1" applyBorder="1" applyFont="1">
      <alignment horizontal="center" readingOrder="0" vertical="center"/>
    </xf>
    <xf borderId="4" fillId="0" fontId="5" numFmtId="0" xfId="0" applyBorder="1" applyFont="1"/>
    <xf borderId="1" fillId="3" fontId="4" numFmtId="0" xfId="0" applyAlignment="1" applyBorder="1" applyFill="1" applyFont="1">
      <alignment readingOrder="0" shrinkToFit="0" vertical="bottom" wrapText="0"/>
    </xf>
    <xf borderId="1" fillId="4" fontId="4" numFmtId="0" xfId="0" applyAlignment="1" applyBorder="1" applyFill="1" applyFont="1">
      <alignment horizontal="right" readingOrder="0" shrinkToFit="0" vertical="bottom" wrapText="0"/>
    </xf>
    <xf borderId="5" fillId="0" fontId="5" numFmtId="0" xfId="0" applyBorder="1" applyFont="1"/>
    <xf borderId="1" fillId="0" fontId="4" numFmtId="0" xfId="0" applyAlignment="1" applyBorder="1" applyFont="1">
      <alignment readingOrder="0" shrinkToFit="0" vertical="bottom" wrapText="0"/>
    </xf>
    <xf borderId="1" fillId="4" fontId="2" numFmtId="0" xfId="0" applyAlignment="1" applyBorder="1" applyFont="1">
      <alignment readingOrder="0"/>
    </xf>
    <xf borderId="6" fillId="0" fontId="5" numFmtId="0" xfId="0" applyBorder="1" applyFont="1"/>
    <xf borderId="1" fillId="0" fontId="4" numFmtId="0" xfId="0" applyAlignment="1" applyBorder="1" applyFont="1">
      <alignment shrinkToFit="0" vertical="bottom" wrapText="0"/>
    </xf>
    <xf borderId="7" fillId="0" fontId="5" numFmtId="0" xfId="0" applyBorder="1" applyFont="1"/>
    <xf borderId="1" fillId="2" fontId="3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left" shrinkToFit="0" wrapText="1"/>
    </xf>
    <xf borderId="1" fillId="0" fontId="2" numFmtId="0" xfId="0" applyAlignment="1" applyBorder="1" applyFont="1">
      <alignment horizontal="center" readingOrder="0" vertical="center"/>
    </xf>
    <xf borderId="0" fillId="3" fontId="2" numFmtId="0" xfId="0" applyAlignment="1" applyFont="1">
      <alignment readingOrder="0"/>
    </xf>
    <xf borderId="1" fillId="2" fontId="4" numFmtId="0" xfId="0" applyAlignment="1" applyBorder="1" applyFont="1">
      <alignment readingOrder="0" shrinkToFit="0" vertical="bottom" wrapText="0"/>
    </xf>
    <xf borderId="1" fillId="0" fontId="3" numFmtId="0" xfId="0" applyAlignment="1" applyBorder="1" applyFont="1">
      <alignment readingOrder="0" vertical="center"/>
    </xf>
    <xf borderId="1" fillId="0" fontId="2" numFmtId="0" xfId="0" applyAlignment="1" applyBorder="1" applyFont="1">
      <alignment horizontal="left" readingOrder="0" shrinkToFit="0" wrapText="1"/>
    </xf>
    <xf borderId="1" fillId="0" fontId="3" numFmtId="0" xfId="0" applyAlignment="1" applyBorder="1" applyFont="1">
      <alignment readingOrder="0" shrinkToFit="0" wrapText="1"/>
    </xf>
    <xf borderId="1" fillId="3" fontId="2" numFmtId="0" xfId="0" applyAlignment="1" applyBorder="1" applyFont="1">
      <alignment readingOrder="0"/>
    </xf>
    <xf borderId="1" fillId="2" fontId="2" numFmtId="0" xfId="0" applyAlignment="1" applyBorder="1" applyFont="1">
      <alignment readingOrder="0"/>
    </xf>
    <xf borderId="3" fillId="0" fontId="3" numFmtId="0" xfId="0" applyAlignment="1" applyBorder="1" applyFont="1">
      <alignment horizontal="center" readingOrder="0" vertical="center"/>
    </xf>
    <xf borderId="1" fillId="5" fontId="2" numFmtId="0" xfId="0" applyBorder="1" applyFill="1" applyFont="1"/>
    <xf borderId="1" fillId="5" fontId="2" numFmtId="9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5"/>
    <col customWidth="1" min="2" max="2" width="13.0"/>
    <col customWidth="1" min="3" max="3" width="20.88"/>
    <col customWidth="1" min="4" max="4" width="16.13"/>
    <col customWidth="1" min="5" max="5" width="11.25"/>
    <col customWidth="1" min="6" max="6" width="19.63"/>
    <col customWidth="1" min="7" max="7" width="18.88"/>
    <col customWidth="1" min="8" max="10" width="12.63"/>
  </cols>
  <sheetData>
    <row r="2">
      <c r="A2" s="3" t="s">
        <v>2</v>
      </c>
      <c r="B2" s="3" t="s">
        <v>9</v>
      </c>
      <c r="C2" s="4" t="s">
        <v>10</v>
      </c>
      <c r="D2" s="4" t="s">
        <v>12</v>
      </c>
      <c r="E2" s="4" t="s">
        <v>13</v>
      </c>
      <c r="F2" s="4" t="s">
        <v>15</v>
      </c>
      <c r="G2" s="4" t="s">
        <v>16</v>
      </c>
      <c r="H2" s="4" t="s">
        <v>17</v>
      </c>
      <c r="I2" s="4" t="s">
        <v>18</v>
      </c>
      <c r="J2" s="4" t="s">
        <v>19</v>
      </c>
      <c r="K2" s="9" t="s">
        <v>11</v>
      </c>
    </row>
    <row r="3">
      <c r="A3" s="10">
        <v>1.0</v>
      </c>
      <c r="B3" s="10">
        <v>50.0</v>
      </c>
      <c r="C3" s="10">
        <v>45.0</v>
      </c>
      <c r="D3" s="10">
        <v>17.0</v>
      </c>
      <c r="E3" s="10">
        <v>17.0</v>
      </c>
      <c r="F3" s="10">
        <v>22.0</v>
      </c>
      <c r="G3" s="10">
        <v>3.0</v>
      </c>
      <c r="H3" s="10" t="s">
        <v>23</v>
      </c>
      <c r="I3" s="10" t="s">
        <v>24</v>
      </c>
      <c r="J3" s="10">
        <v>0.0</v>
      </c>
      <c r="K3" s="12"/>
    </row>
    <row r="4">
      <c r="A4" s="16">
        <v>2.0</v>
      </c>
      <c r="B4" s="16">
        <v>50.0</v>
      </c>
      <c r="C4" s="16">
        <v>49.0</v>
      </c>
      <c r="D4" s="16">
        <v>18.0</v>
      </c>
      <c r="E4" s="16">
        <v>18.0</v>
      </c>
      <c r="F4" s="16">
        <v>26.0</v>
      </c>
      <c r="G4" s="16">
        <v>2.0</v>
      </c>
      <c r="H4" s="16" t="s">
        <v>23</v>
      </c>
      <c r="I4" s="16" t="s">
        <v>24</v>
      </c>
      <c r="J4" s="16">
        <v>0.0</v>
      </c>
      <c r="K4" s="19" t="s">
        <v>27</v>
      </c>
    </row>
    <row r="5">
      <c r="A5" s="10">
        <v>3.0</v>
      </c>
      <c r="B5" s="10">
        <v>50.0</v>
      </c>
      <c r="C5" s="10">
        <v>46.0</v>
      </c>
      <c r="D5" s="10">
        <v>19.0</v>
      </c>
      <c r="E5" s="10">
        <v>19.0</v>
      </c>
      <c r="F5" s="10">
        <v>23.0</v>
      </c>
      <c r="G5" s="10">
        <v>3.0</v>
      </c>
      <c r="H5" s="10" t="s">
        <v>23</v>
      </c>
      <c r="I5" s="10" t="s">
        <v>24</v>
      </c>
      <c r="J5" s="10">
        <v>0.0</v>
      </c>
      <c r="K5" s="1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.63"/>
    <col customWidth="1" min="3" max="3" width="46.38"/>
    <col customWidth="1" min="5" max="5" width="16.25"/>
    <col customWidth="1" min="7" max="7" width="10.25"/>
    <col customWidth="1" min="8" max="8" width="20.63"/>
    <col customWidth="1" min="10" max="10" width="15.75"/>
  </cols>
  <sheetData>
    <row r="2">
      <c r="B2" s="1" t="s">
        <v>0</v>
      </c>
      <c r="C2" s="1" t="s">
        <v>3</v>
      </c>
      <c r="D2" s="1" t="s">
        <v>4</v>
      </c>
      <c r="E2" s="1" t="s">
        <v>5</v>
      </c>
      <c r="F2" s="1" t="s">
        <v>6</v>
      </c>
      <c r="G2" s="4" t="s">
        <v>8</v>
      </c>
      <c r="H2" s="6" t="s">
        <v>11</v>
      </c>
      <c r="J2" s="7" t="s">
        <v>14</v>
      </c>
      <c r="K2" s="11">
        <f>COUNTIF(E3:E36, "")</f>
        <v>9</v>
      </c>
    </row>
    <row r="3">
      <c r="B3" s="10">
        <v>1.0</v>
      </c>
      <c r="C3" s="15" t="s">
        <v>25</v>
      </c>
      <c r="D3" s="18">
        <v>7.0</v>
      </c>
      <c r="E3" s="18">
        <v>7.0</v>
      </c>
      <c r="F3" s="21">
        <f>(E3*100)/D3</f>
        <v>100</v>
      </c>
      <c r="G3" s="24">
        <v>1.0</v>
      </c>
      <c r="H3" s="25"/>
      <c r="J3" s="27" t="s">
        <v>32</v>
      </c>
      <c r="K3" s="11">
        <f>COUNTIF(E3:E36, "&gt;=0")</f>
        <v>25</v>
      </c>
    </row>
    <row r="4">
      <c r="B4" s="10">
        <v>2.0</v>
      </c>
      <c r="C4" s="28" t="s">
        <v>33</v>
      </c>
      <c r="D4" s="21"/>
      <c r="E4" s="18"/>
      <c r="F4" s="21"/>
      <c r="G4" s="24"/>
      <c r="H4" s="25"/>
    </row>
    <row r="5">
      <c r="B5" s="10">
        <v>3.0</v>
      </c>
      <c r="C5" s="15" t="s">
        <v>34</v>
      </c>
      <c r="D5" s="18">
        <v>5.0</v>
      </c>
      <c r="E5" s="18">
        <v>5.0</v>
      </c>
      <c r="F5" s="21">
        <f t="shared" ref="F5:F7" si="1">(E5*100)/D5</f>
        <v>100</v>
      </c>
      <c r="G5" s="24">
        <v>1.0</v>
      </c>
      <c r="H5" s="25"/>
      <c r="J5" s="29" t="s">
        <v>35</v>
      </c>
      <c r="K5" s="12">
        <f>COUNTIF(G3:G36, 0) + COUNTIF(G3:G36,1)
</f>
        <v>20</v>
      </c>
    </row>
    <row r="6">
      <c r="B6" s="10">
        <v>4.0</v>
      </c>
      <c r="C6" s="15" t="s">
        <v>36</v>
      </c>
      <c r="D6" s="18">
        <v>7.0</v>
      </c>
      <c r="E6" s="18">
        <v>7.0</v>
      </c>
      <c r="F6" s="21">
        <f t="shared" si="1"/>
        <v>100</v>
      </c>
      <c r="G6" s="24">
        <v>1.0</v>
      </c>
      <c r="H6" s="30" t="s">
        <v>37</v>
      </c>
      <c r="J6" s="31" t="s">
        <v>38</v>
      </c>
      <c r="K6" s="12">
        <f>countif(G3:G36,"=1")</f>
        <v>19</v>
      </c>
    </row>
    <row r="7">
      <c r="B7" s="10">
        <v>5.0</v>
      </c>
      <c r="C7" s="15" t="s">
        <v>39</v>
      </c>
      <c r="D7" s="18">
        <v>7.0</v>
      </c>
      <c r="E7" s="18">
        <v>7.0</v>
      </c>
      <c r="F7" s="21">
        <f t="shared" si="1"/>
        <v>100</v>
      </c>
      <c r="G7" s="24">
        <v>1.0</v>
      </c>
      <c r="H7" s="25"/>
    </row>
    <row r="8">
      <c r="B8" s="10">
        <v>6.0</v>
      </c>
      <c r="C8" s="28" t="s">
        <v>41</v>
      </c>
      <c r="D8" s="21"/>
      <c r="E8" s="18"/>
      <c r="F8" s="21"/>
      <c r="G8" s="24"/>
      <c r="H8" s="25"/>
    </row>
    <row r="9">
      <c r="B9" s="10">
        <v>7.0</v>
      </c>
      <c r="C9" s="28" t="s">
        <v>42</v>
      </c>
      <c r="D9" s="21"/>
      <c r="E9" s="18"/>
      <c r="F9" s="21"/>
      <c r="G9" s="24"/>
      <c r="H9" s="25"/>
    </row>
    <row r="10">
      <c r="B10" s="10">
        <v>8.0</v>
      </c>
      <c r="C10" s="28" t="s">
        <v>43</v>
      </c>
      <c r="D10" s="21"/>
      <c r="E10" s="18"/>
      <c r="F10" s="21"/>
      <c r="G10" s="24"/>
      <c r="H10" s="25"/>
    </row>
    <row r="11">
      <c r="B11" s="10">
        <v>9.0</v>
      </c>
      <c r="C11" s="28" t="s">
        <v>44</v>
      </c>
      <c r="D11" s="21"/>
      <c r="E11" s="18"/>
      <c r="F11" s="21"/>
      <c r="G11" s="24"/>
      <c r="H11" s="25"/>
    </row>
    <row r="12">
      <c r="B12" s="10">
        <v>10.0</v>
      </c>
      <c r="C12" s="28" t="s">
        <v>46</v>
      </c>
      <c r="D12" s="21"/>
      <c r="E12" s="18"/>
      <c r="F12" s="21"/>
      <c r="G12" s="24"/>
      <c r="H12" s="25"/>
    </row>
    <row r="13">
      <c r="B13" s="10">
        <v>11.0</v>
      </c>
      <c r="C13" s="15" t="s">
        <v>47</v>
      </c>
      <c r="D13" s="18">
        <v>8.0</v>
      </c>
      <c r="E13" s="18">
        <v>8.0</v>
      </c>
      <c r="F13" s="21">
        <f t="shared" ref="F13:F24" si="2">(E13*100)/D13</f>
        <v>100</v>
      </c>
      <c r="G13" s="24">
        <v>1.0</v>
      </c>
      <c r="H13" s="30" t="s">
        <v>49</v>
      </c>
    </row>
    <row r="14">
      <c r="B14" s="10">
        <v>12.0</v>
      </c>
      <c r="C14" s="32" t="s">
        <v>50</v>
      </c>
      <c r="D14" s="24">
        <v>7.0</v>
      </c>
      <c r="E14" s="18">
        <v>2.0</v>
      </c>
      <c r="F14" s="21">
        <f t="shared" si="2"/>
        <v>28.57142857</v>
      </c>
      <c r="G14" s="24">
        <v>0.0</v>
      </c>
      <c r="H14" s="30" t="s">
        <v>51</v>
      </c>
    </row>
    <row r="15">
      <c r="B15" s="10">
        <v>13.0</v>
      </c>
      <c r="C15" s="32" t="s">
        <v>52</v>
      </c>
      <c r="D15" s="24">
        <v>6.0</v>
      </c>
      <c r="E15" s="18">
        <v>6.0</v>
      </c>
      <c r="F15" s="21">
        <f t="shared" si="2"/>
        <v>100</v>
      </c>
      <c r="G15" s="24">
        <v>1.0</v>
      </c>
      <c r="H15" s="25"/>
    </row>
    <row r="16">
      <c r="B16" s="10">
        <v>14.0</v>
      </c>
      <c r="C16" s="32" t="s">
        <v>53</v>
      </c>
      <c r="D16" s="24">
        <v>4.0</v>
      </c>
      <c r="E16" s="18">
        <v>4.0</v>
      </c>
      <c r="F16" s="21">
        <f t="shared" si="2"/>
        <v>100</v>
      </c>
      <c r="G16" s="24">
        <v>1.0</v>
      </c>
      <c r="H16" s="25"/>
    </row>
    <row r="17">
      <c r="B17" s="10">
        <v>15.0</v>
      </c>
      <c r="C17" s="32" t="s">
        <v>54</v>
      </c>
      <c r="D17" s="24">
        <v>7.0</v>
      </c>
      <c r="E17" s="18">
        <v>6.0</v>
      </c>
      <c r="F17" s="21">
        <f t="shared" si="2"/>
        <v>85.71428571</v>
      </c>
      <c r="G17" s="24">
        <v>1.0</v>
      </c>
      <c r="H17" s="30" t="s">
        <v>55</v>
      </c>
    </row>
    <row r="18">
      <c r="B18" s="10">
        <v>16.0</v>
      </c>
      <c r="C18" s="32" t="s">
        <v>56</v>
      </c>
      <c r="D18" s="24">
        <v>10.0</v>
      </c>
      <c r="E18" s="18">
        <v>0.0</v>
      </c>
      <c r="F18" s="21">
        <f t="shared" si="2"/>
        <v>0</v>
      </c>
      <c r="G18" s="24"/>
      <c r="H18" s="25"/>
    </row>
    <row r="19">
      <c r="B19" s="10">
        <v>17.0</v>
      </c>
      <c r="C19" s="32" t="s">
        <v>57</v>
      </c>
      <c r="D19" s="24">
        <v>10.0</v>
      </c>
      <c r="E19" s="18">
        <v>9.0</v>
      </c>
      <c r="F19" s="21">
        <f t="shared" si="2"/>
        <v>90</v>
      </c>
      <c r="G19" s="24">
        <v>1.0</v>
      </c>
      <c r="H19" s="30" t="s">
        <v>58</v>
      </c>
    </row>
    <row r="20">
      <c r="B20" s="10">
        <v>18.0</v>
      </c>
      <c r="C20" s="32" t="s">
        <v>59</v>
      </c>
      <c r="D20" s="24">
        <v>9.0</v>
      </c>
      <c r="E20" s="18">
        <v>7.0</v>
      </c>
      <c r="F20" s="21">
        <f t="shared" si="2"/>
        <v>77.77777778</v>
      </c>
      <c r="G20" s="24">
        <v>1.0</v>
      </c>
      <c r="H20" s="30" t="s">
        <v>60</v>
      </c>
    </row>
    <row r="21">
      <c r="B21" s="10">
        <v>19.0</v>
      </c>
      <c r="C21" s="32" t="s">
        <v>61</v>
      </c>
      <c r="D21" s="24">
        <v>9.0</v>
      </c>
      <c r="E21" s="18">
        <v>0.0</v>
      </c>
      <c r="F21" s="21">
        <f t="shared" si="2"/>
        <v>0</v>
      </c>
      <c r="G21" s="24"/>
      <c r="H21" s="25"/>
    </row>
    <row r="22">
      <c r="B22" s="10">
        <v>20.0</v>
      </c>
      <c r="C22" s="32" t="s">
        <v>62</v>
      </c>
      <c r="D22" s="24">
        <v>7.0</v>
      </c>
      <c r="E22" s="18">
        <v>7.0</v>
      </c>
      <c r="F22" s="21">
        <f t="shared" si="2"/>
        <v>100</v>
      </c>
      <c r="G22" s="24">
        <v>1.0</v>
      </c>
      <c r="H22" s="25"/>
    </row>
    <row r="23">
      <c r="B23" s="10">
        <v>21.0</v>
      </c>
      <c r="C23" s="32" t="s">
        <v>64</v>
      </c>
      <c r="D23" s="24">
        <v>8.0</v>
      </c>
      <c r="E23" s="18">
        <v>8.0</v>
      </c>
      <c r="F23" s="21">
        <f t="shared" si="2"/>
        <v>100</v>
      </c>
      <c r="G23" s="24">
        <v>1.0</v>
      </c>
      <c r="H23" s="25"/>
    </row>
    <row r="24">
      <c r="B24" s="10">
        <v>22.0</v>
      </c>
      <c r="C24" s="32" t="s">
        <v>65</v>
      </c>
      <c r="D24" s="24">
        <v>7.0</v>
      </c>
      <c r="E24" s="18">
        <v>7.0</v>
      </c>
      <c r="F24" s="21">
        <f t="shared" si="2"/>
        <v>100</v>
      </c>
      <c r="G24" s="24">
        <v>1.0</v>
      </c>
      <c r="H24" s="25"/>
    </row>
    <row r="25">
      <c r="B25" s="10">
        <v>23.0</v>
      </c>
      <c r="C25" s="33" t="s">
        <v>66</v>
      </c>
      <c r="D25" s="12"/>
      <c r="E25" s="18"/>
      <c r="F25" s="21"/>
      <c r="G25" s="24"/>
      <c r="H25" s="25"/>
    </row>
    <row r="26">
      <c r="B26" s="10">
        <v>24.0</v>
      </c>
      <c r="C26" s="32" t="s">
        <v>67</v>
      </c>
      <c r="D26" s="24">
        <v>6.0</v>
      </c>
      <c r="E26" s="18">
        <v>0.0</v>
      </c>
      <c r="F26" s="21">
        <f t="shared" ref="F26:F33" si="3">(E26*100)/D26</f>
        <v>0</v>
      </c>
      <c r="G26" s="24"/>
      <c r="H26" s="25"/>
    </row>
    <row r="27">
      <c r="B27" s="10">
        <v>25.0</v>
      </c>
      <c r="C27" s="32" t="s">
        <v>69</v>
      </c>
      <c r="D27" s="24">
        <v>8.0</v>
      </c>
      <c r="E27" s="18">
        <v>8.0</v>
      </c>
      <c r="F27" s="21">
        <f t="shared" si="3"/>
        <v>100</v>
      </c>
      <c r="G27" s="24">
        <v>1.0</v>
      </c>
      <c r="H27" s="25"/>
    </row>
    <row r="28">
      <c r="B28" s="10">
        <v>26.0</v>
      </c>
      <c r="C28" s="32" t="s">
        <v>70</v>
      </c>
      <c r="D28" s="24">
        <v>12.0</v>
      </c>
      <c r="E28" s="18">
        <v>12.0</v>
      </c>
      <c r="F28" s="21">
        <f t="shared" si="3"/>
        <v>100</v>
      </c>
      <c r="G28" s="24">
        <v>1.0</v>
      </c>
      <c r="H28" s="25"/>
    </row>
    <row r="29">
      <c r="B29" s="10">
        <v>27.0</v>
      </c>
      <c r="C29" s="32" t="s">
        <v>72</v>
      </c>
      <c r="D29" s="24">
        <v>12.0</v>
      </c>
      <c r="E29" s="18">
        <v>12.0</v>
      </c>
      <c r="F29" s="21">
        <f t="shared" si="3"/>
        <v>100</v>
      </c>
      <c r="G29" s="24">
        <v>1.0</v>
      </c>
      <c r="H29" s="25"/>
    </row>
    <row r="30">
      <c r="B30" s="10">
        <v>28.0</v>
      </c>
      <c r="C30" s="32" t="s">
        <v>73</v>
      </c>
      <c r="D30" s="24">
        <v>10.0</v>
      </c>
      <c r="E30" s="18">
        <v>10.0</v>
      </c>
      <c r="F30" s="21">
        <f t="shared" si="3"/>
        <v>100</v>
      </c>
      <c r="G30" s="24">
        <v>1.0</v>
      </c>
      <c r="H30" s="25"/>
    </row>
    <row r="31">
      <c r="B31" s="10">
        <v>29.0</v>
      </c>
      <c r="C31" s="32" t="s">
        <v>74</v>
      </c>
      <c r="D31" s="24">
        <v>8.0</v>
      </c>
      <c r="E31" s="18">
        <v>8.0</v>
      </c>
      <c r="F31" s="21">
        <f t="shared" si="3"/>
        <v>100</v>
      </c>
      <c r="G31" s="24">
        <v>1.0</v>
      </c>
      <c r="H31" s="25"/>
    </row>
    <row r="32">
      <c r="B32" s="10">
        <v>30.0</v>
      </c>
      <c r="C32" s="32" t="s">
        <v>75</v>
      </c>
      <c r="D32" s="24">
        <v>6.0</v>
      </c>
      <c r="E32" s="18">
        <v>0.0</v>
      </c>
      <c r="F32" s="21">
        <f t="shared" si="3"/>
        <v>0</v>
      </c>
      <c r="G32" s="24"/>
      <c r="H32" s="25"/>
    </row>
    <row r="33">
      <c r="B33" s="10">
        <v>31.0</v>
      </c>
      <c r="C33" s="32" t="s">
        <v>77</v>
      </c>
      <c r="D33" s="24">
        <v>8.0</v>
      </c>
      <c r="E33" s="18">
        <v>0.0</v>
      </c>
      <c r="F33" s="21">
        <f t="shared" si="3"/>
        <v>0</v>
      </c>
      <c r="G33" s="24"/>
      <c r="H33" s="25"/>
    </row>
    <row r="34">
      <c r="B34" s="10">
        <v>32.0</v>
      </c>
      <c r="C34" s="33" t="s">
        <v>78</v>
      </c>
      <c r="D34" s="12"/>
      <c r="E34" s="18"/>
      <c r="F34" s="21"/>
      <c r="G34" s="24"/>
      <c r="H34" s="25"/>
    </row>
    <row r="35">
      <c r="B35" s="10">
        <v>33.0</v>
      </c>
      <c r="C35" s="32" t="s">
        <v>79</v>
      </c>
      <c r="D35" s="24">
        <v>6.0</v>
      </c>
      <c r="E35" s="18">
        <v>6.0</v>
      </c>
      <c r="F35" s="21">
        <f>(E35*100)/D35</f>
        <v>100</v>
      </c>
      <c r="G35" s="24">
        <v>1.0</v>
      </c>
      <c r="H35" s="25"/>
    </row>
    <row r="36">
      <c r="B36" s="10">
        <v>34.0</v>
      </c>
      <c r="C36" s="33" t="s">
        <v>80</v>
      </c>
      <c r="D36" s="12"/>
      <c r="E36" s="18"/>
      <c r="F36" s="21"/>
      <c r="G36" s="24"/>
      <c r="H36" s="25"/>
    </row>
  </sheetData>
  <dataValidations>
    <dataValidation type="list" allowBlank="1" showErrorMessage="1" sqref="G3 G5:G7 G13:G24 G26:G33 G35">
      <formula1>"1,0"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75"/>
    <col customWidth="1" min="2" max="2" width="4.13"/>
    <col customWidth="1" min="3" max="3" width="46.63"/>
    <col customWidth="1" min="4" max="5" width="14.88"/>
    <col customWidth="1" min="6" max="7" width="9.5"/>
    <col customWidth="1" min="8" max="8" width="14.88"/>
    <col customWidth="1" min="9" max="9" width="9.5"/>
    <col customWidth="1" min="10" max="10" width="8.25"/>
    <col customWidth="1" min="11" max="11" width="14.88"/>
    <col customWidth="1" min="12" max="12" width="9.5"/>
    <col customWidth="1" min="13" max="13" width="9.38"/>
  </cols>
  <sheetData>
    <row r="1">
      <c r="C1" s="2" t="s">
        <v>1</v>
      </c>
    </row>
    <row r="2">
      <c r="C2" s="2" t="s">
        <v>7</v>
      </c>
    </row>
    <row r="4" ht="21.75" customHeight="1">
      <c r="A4" s="5"/>
      <c r="B4" s="8" t="s">
        <v>0</v>
      </c>
      <c r="C4" s="8" t="s">
        <v>20</v>
      </c>
      <c r="D4" s="8" t="s">
        <v>21</v>
      </c>
      <c r="E4" s="13" t="s">
        <v>22</v>
      </c>
      <c r="F4" s="14"/>
      <c r="G4" s="17"/>
      <c r="H4" s="13" t="s">
        <v>26</v>
      </c>
      <c r="I4" s="14"/>
      <c r="J4" s="17"/>
      <c r="K4" s="13" t="s">
        <v>28</v>
      </c>
      <c r="L4" s="14"/>
      <c r="M4" s="17"/>
    </row>
    <row r="5">
      <c r="A5" s="5"/>
      <c r="B5" s="20"/>
      <c r="C5" s="20"/>
      <c r="D5" s="20"/>
      <c r="E5" s="8" t="s">
        <v>29</v>
      </c>
      <c r="F5" s="13" t="s">
        <v>30</v>
      </c>
      <c r="G5" s="17"/>
      <c r="H5" s="8" t="s">
        <v>29</v>
      </c>
      <c r="I5" s="13" t="s">
        <v>30</v>
      </c>
      <c r="J5" s="17"/>
      <c r="K5" s="8" t="s">
        <v>29</v>
      </c>
      <c r="L5" s="13" t="s">
        <v>30</v>
      </c>
      <c r="M5" s="17"/>
    </row>
    <row r="6">
      <c r="A6" s="5"/>
      <c r="B6" s="22"/>
      <c r="C6" s="22"/>
      <c r="D6" s="22"/>
      <c r="E6" s="22"/>
      <c r="F6" s="23">
        <v>2025.0</v>
      </c>
      <c r="G6" s="23">
        <v>2026.0</v>
      </c>
      <c r="H6" s="22"/>
      <c r="I6" s="23">
        <v>2025.0</v>
      </c>
      <c r="J6" s="23">
        <v>2026.0</v>
      </c>
      <c r="K6" s="22"/>
      <c r="L6" s="23">
        <v>2025.0</v>
      </c>
      <c r="M6" s="23">
        <v>2026.0</v>
      </c>
    </row>
    <row r="7">
      <c r="A7" s="2"/>
      <c r="B7" s="24">
        <v>1.0</v>
      </c>
      <c r="C7" s="24" t="s">
        <v>31</v>
      </c>
      <c r="D7" s="26">
        <v>2025.0</v>
      </c>
      <c r="E7" s="24">
        <v>0.0</v>
      </c>
      <c r="F7" s="12">
        <f t="shared" ref="F7:F56" si="1">IF(AND(D7=2025, E7=1), 1, 0)</f>
        <v>0</v>
      </c>
      <c r="G7" s="12">
        <f t="shared" ref="G7:G56" si="2">IF(AND(D7=2026, E7=1), 1, 0)</f>
        <v>0</v>
      </c>
      <c r="H7" s="24">
        <v>0.0</v>
      </c>
      <c r="I7" s="24">
        <f t="shared" ref="I7:I56" si="3">IF(AND(D7=2025, H7=1), 1, 0)</f>
        <v>0</v>
      </c>
      <c r="J7" s="24">
        <f t="shared" ref="J7:J56" si="4">IF(AND(D7=2026, H7=1), 1, 0)</f>
        <v>0</v>
      </c>
      <c r="K7" s="24">
        <v>1.0</v>
      </c>
      <c r="L7" s="12">
        <f t="shared" ref="L7:L56" si="5">IF(AND(D7=2025, K7=1), 1, 0)</f>
        <v>1</v>
      </c>
      <c r="M7" s="12">
        <f t="shared" ref="M7:M56" si="6">IF(AND(D7=2026, K7=1), 1, 0)</f>
        <v>0</v>
      </c>
    </row>
    <row r="8">
      <c r="A8" s="2"/>
      <c r="B8" s="24">
        <v>2.0</v>
      </c>
      <c r="C8" s="24" t="s">
        <v>40</v>
      </c>
      <c r="D8" s="26">
        <v>2026.0</v>
      </c>
      <c r="E8" s="24">
        <v>0.0</v>
      </c>
      <c r="F8" s="12">
        <f t="shared" si="1"/>
        <v>0</v>
      </c>
      <c r="G8" s="12">
        <f t="shared" si="2"/>
        <v>0</v>
      </c>
      <c r="H8" s="24">
        <v>0.0</v>
      </c>
      <c r="I8" s="24">
        <f t="shared" si="3"/>
        <v>0</v>
      </c>
      <c r="J8" s="24">
        <f t="shared" si="4"/>
        <v>0</v>
      </c>
      <c r="K8" s="24">
        <v>1.0</v>
      </c>
      <c r="L8" s="12">
        <f t="shared" si="5"/>
        <v>0</v>
      </c>
      <c r="M8" s="12">
        <f t="shared" si="6"/>
        <v>1</v>
      </c>
    </row>
    <row r="9">
      <c r="A9" s="2"/>
      <c r="B9" s="24">
        <v>3.0</v>
      </c>
      <c r="C9" s="24" t="s">
        <v>45</v>
      </c>
      <c r="D9" s="26">
        <v>2026.0</v>
      </c>
      <c r="E9" s="24">
        <v>0.0</v>
      </c>
      <c r="F9" s="12">
        <f t="shared" si="1"/>
        <v>0</v>
      </c>
      <c r="G9" s="12">
        <f t="shared" si="2"/>
        <v>0</v>
      </c>
      <c r="H9" s="24">
        <v>0.0</v>
      </c>
      <c r="I9" s="24">
        <f t="shared" si="3"/>
        <v>0</v>
      </c>
      <c r="J9" s="24">
        <f t="shared" si="4"/>
        <v>0</v>
      </c>
      <c r="K9" s="24">
        <v>1.0</v>
      </c>
      <c r="L9" s="12">
        <f t="shared" si="5"/>
        <v>0</v>
      </c>
      <c r="M9" s="12">
        <f t="shared" si="6"/>
        <v>1</v>
      </c>
    </row>
    <row r="10">
      <c r="A10" s="2"/>
      <c r="B10" s="24">
        <v>4.0</v>
      </c>
      <c r="C10" s="24" t="s">
        <v>48</v>
      </c>
      <c r="D10" s="26">
        <v>2025.0</v>
      </c>
      <c r="E10" s="24">
        <v>0.0</v>
      </c>
      <c r="F10" s="12">
        <f t="shared" si="1"/>
        <v>0</v>
      </c>
      <c r="G10" s="12">
        <f t="shared" si="2"/>
        <v>0</v>
      </c>
      <c r="H10" s="24">
        <v>0.0</v>
      </c>
      <c r="I10" s="24">
        <f t="shared" si="3"/>
        <v>0</v>
      </c>
      <c r="J10" s="24">
        <f t="shared" si="4"/>
        <v>0</v>
      </c>
      <c r="K10" s="24">
        <v>0.0</v>
      </c>
      <c r="L10" s="12">
        <f t="shared" si="5"/>
        <v>0</v>
      </c>
      <c r="M10" s="12">
        <f t="shared" si="6"/>
        <v>0</v>
      </c>
    </row>
    <row r="11">
      <c r="A11" s="2"/>
      <c r="B11" s="24">
        <v>5.0</v>
      </c>
      <c r="C11" s="24" t="s">
        <v>25</v>
      </c>
      <c r="D11" s="26">
        <v>2026.0</v>
      </c>
      <c r="E11" s="24">
        <v>0.0</v>
      </c>
      <c r="F11" s="12">
        <f t="shared" si="1"/>
        <v>0</v>
      </c>
      <c r="G11" s="12">
        <f t="shared" si="2"/>
        <v>0</v>
      </c>
      <c r="H11" s="24">
        <v>0.0</v>
      </c>
      <c r="I11" s="24">
        <f t="shared" si="3"/>
        <v>0</v>
      </c>
      <c r="J11" s="24">
        <f t="shared" si="4"/>
        <v>0</v>
      </c>
      <c r="K11" s="24">
        <v>1.0</v>
      </c>
      <c r="L11" s="12">
        <f t="shared" si="5"/>
        <v>0</v>
      </c>
      <c r="M11" s="12">
        <f t="shared" si="6"/>
        <v>1</v>
      </c>
    </row>
    <row r="12">
      <c r="A12" s="2"/>
      <c r="B12" s="24">
        <v>6.0</v>
      </c>
      <c r="C12" s="24" t="s">
        <v>33</v>
      </c>
      <c r="D12" s="26">
        <v>2025.0</v>
      </c>
      <c r="E12" s="24">
        <v>0.0</v>
      </c>
      <c r="F12" s="12">
        <f t="shared" si="1"/>
        <v>0</v>
      </c>
      <c r="G12" s="12">
        <f t="shared" si="2"/>
        <v>0</v>
      </c>
      <c r="H12" s="24">
        <v>0.0</v>
      </c>
      <c r="I12" s="24">
        <f t="shared" si="3"/>
        <v>0</v>
      </c>
      <c r="J12" s="24">
        <f t="shared" si="4"/>
        <v>0</v>
      </c>
      <c r="K12" s="24">
        <v>1.0</v>
      </c>
      <c r="L12" s="12">
        <f t="shared" si="5"/>
        <v>1</v>
      </c>
      <c r="M12" s="12">
        <f t="shared" si="6"/>
        <v>0</v>
      </c>
    </row>
    <row r="13">
      <c r="A13" s="2"/>
      <c r="B13" s="24">
        <v>7.0</v>
      </c>
      <c r="C13" s="24" t="s">
        <v>63</v>
      </c>
      <c r="D13" s="26">
        <v>2025.0</v>
      </c>
      <c r="E13" s="24">
        <v>0.0</v>
      </c>
      <c r="F13" s="12">
        <f t="shared" si="1"/>
        <v>0</v>
      </c>
      <c r="G13" s="12">
        <f t="shared" si="2"/>
        <v>0</v>
      </c>
      <c r="H13" s="24">
        <v>0.0</v>
      </c>
      <c r="I13" s="24">
        <f t="shared" si="3"/>
        <v>0</v>
      </c>
      <c r="J13" s="24">
        <f t="shared" si="4"/>
        <v>0</v>
      </c>
      <c r="K13" s="24">
        <v>1.0</v>
      </c>
      <c r="L13" s="12">
        <f t="shared" si="5"/>
        <v>1</v>
      </c>
      <c r="M13" s="12">
        <f t="shared" si="6"/>
        <v>0</v>
      </c>
    </row>
    <row r="14">
      <c r="A14" s="2"/>
      <c r="B14" s="24">
        <v>8.0</v>
      </c>
      <c r="C14" s="24" t="s">
        <v>68</v>
      </c>
      <c r="D14" s="26">
        <v>2026.0</v>
      </c>
      <c r="E14" s="24">
        <v>0.0</v>
      </c>
      <c r="F14" s="12">
        <f t="shared" si="1"/>
        <v>0</v>
      </c>
      <c r="G14" s="12">
        <f t="shared" si="2"/>
        <v>0</v>
      </c>
      <c r="H14" s="24">
        <v>0.0</v>
      </c>
      <c r="I14" s="24">
        <f t="shared" si="3"/>
        <v>0</v>
      </c>
      <c r="J14" s="24">
        <f t="shared" si="4"/>
        <v>0</v>
      </c>
      <c r="K14" s="24">
        <v>1.0</v>
      </c>
      <c r="L14" s="12">
        <f t="shared" si="5"/>
        <v>0</v>
      </c>
      <c r="M14" s="12">
        <f t="shared" si="6"/>
        <v>1</v>
      </c>
    </row>
    <row r="15">
      <c r="A15" s="2"/>
      <c r="B15" s="24">
        <v>9.0</v>
      </c>
      <c r="C15" s="24" t="s">
        <v>71</v>
      </c>
      <c r="D15" s="26">
        <v>2025.0</v>
      </c>
      <c r="E15" s="24">
        <v>0.0</v>
      </c>
      <c r="F15" s="12">
        <f t="shared" si="1"/>
        <v>0</v>
      </c>
      <c r="G15" s="12">
        <f t="shared" si="2"/>
        <v>0</v>
      </c>
      <c r="H15" s="24">
        <v>0.0</v>
      </c>
      <c r="I15" s="24">
        <f t="shared" si="3"/>
        <v>0</v>
      </c>
      <c r="J15" s="24">
        <f t="shared" si="4"/>
        <v>0</v>
      </c>
      <c r="K15" s="24">
        <v>1.0</v>
      </c>
      <c r="L15" s="12">
        <f t="shared" si="5"/>
        <v>1</v>
      </c>
      <c r="M15" s="12">
        <f t="shared" si="6"/>
        <v>0</v>
      </c>
    </row>
    <row r="16">
      <c r="A16" s="2"/>
      <c r="B16" s="24">
        <v>10.0</v>
      </c>
      <c r="C16" s="24" t="s">
        <v>76</v>
      </c>
      <c r="D16" s="26">
        <v>2026.0</v>
      </c>
      <c r="E16" s="24">
        <v>0.0</v>
      </c>
      <c r="F16" s="12">
        <f t="shared" si="1"/>
        <v>0</v>
      </c>
      <c r="G16" s="12">
        <f t="shared" si="2"/>
        <v>0</v>
      </c>
      <c r="H16" s="24">
        <v>0.0</v>
      </c>
      <c r="I16" s="24">
        <f t="shared" si="3"/>
        <v>0</v>
      </c>
      <c r="J16" s="24">
        <f t="shared" si="4"/>
        <v>0</v>
      </c>
      <c r="K16" s="24">
        <v>1.0</v>
      </c>
      <c r="L16" s="12">
        <f t="shared" si="5"/>
        <v>0</v>
      </c>
      <c r="M16" s="12">
        <f t="shared" si="6"/>
        <v>1</v>
      </c>
    </row>
    <row r="17">
      <c r="A17" s="2"/>
      <c r="B17" s="24">
        <v>11.0</v>
      </c>
      <c r="C17" s="24" t="s">
        <v>34</v>
      </c>
      <c r="D17" s="26">
        <v>2026.0</v>
      </c>
      <c r="E17" s="24">
        <v>0.0</v>
      </c>
      <c r="F17" s="12">
        <f t="shared" si="1"/>
        <v>0</v>
      </c>
      <c r="G17" s="12">
        <f t="shared" si="2"/>
        <v>0</v>
      </c>
      <c r="H17" s="24">
        <v>0.0</v>
      </c>
      <c r="I17" s="24">
        <f t="shared" si="3"/>
        <v>0</v>
      </c>
      <c r="J17" s="24">
        <f t="shared" si="4"/>
        <v>0</v>
      </c>
      <c r="K17" s="24">
        <v>1.0</v>
      </c>
      <c r="L17" s="12">
        <f t="shared" si="5"/>
        <v>0</v>
      </c>
      <c r="M17" s="12">
        <f t="shared" si="6"/>
        <v>1</v>
      </c>
    </row>
    <row r="18">
      <c r="A18" s="2"/>
      <c r="B18" s="24">
        <v>12.0</v>
      </c>
      <c r="C18" s="24" t="s">
        <v>36</v>
      </c>
      <c r="D18" s="26">
        <v>2026.0</v>
      </c>
      <c r="E18" s="24">
        <v>0.0</v>
      </c>
      <c r="F18" s="12">
        <f t="shared" si="1"/>
        <v>0</v>
      </c>
      <c r="G18" s="12">
        <f t="shared" si="2"/>
        <v>0</v>
      </c>
      <c r="H18" s="24">
        <v>0.0</v>
      </c>
      <c r="I18" s="24">
        <f t="shared" si="3"/>
        <v>0</v>
      </c>
      <c r="J18" s="24">
        <f t="shared" si="4"/>
        <v>0</v>
      </c>
      <c r="K18" s="24">
        <v>1.0</v>
      </c>
      <c r="L18" s="12">
        <f t="shared" si="5"/>
        <v>0</v>
      </c>
      <c r="M18" s="12">
        <f t="shared" si="6"/>
        <v>1</v>
      </c>
    </row>
    <row r="19">
      <c r="A19" s="2"/>
      <c r="B19" s="24">
        <v>13.0</v>
      </c>
      <c r="C19" s="24" t="s">
        <v>39</v>
      </c>
      <c r="D19" s="26">
        <v>2026.0</v>
      </c>
      <c r="E19" s="24">
        <v>0.0</v>
      </c>
      <c r="F19" s="12">
        <f t="shared" si="1"/>
        <v>0</v>
      </c>
      <c r="G19" s="12">
        <f t="shared" si="2"/>
        <v>0</v>
      </c>
      <c r="H19" s="24">
        <v>0.0</v>
      </c>
      <c r="I19" s="24">
        <f t="shared" si="3"/>
        <v>0</v>
      </c>
      <c r="J19" s="24">
        <f t="shared" si="4"/>
        <v>0</v>
      </c>
      <c r="K19" s="24">
        <v>1.0</v>
      </c>
      <c r="L19" s="12">
        <f t="shared" si="5"/>
        <v>0</v>
      </c>
      <c r="M19" s="12">
        <f t="shared" si="6"/>
        <v>1</v>
      </c>
    </row>
    <row r="20">
      <c r="A20" s="2"/>
      <c r="B20" s="24">
        <v>14.0</v>
      </c>
      <c r="C20" s="24" t="s">
        <v>41</v>
      </c>
      <c r="D20" s="26">
        <v>2026.0</v>
      </c>
      <c r="E20" s="24">
        <v>0.0</v>
      </c>
      <c r="F20" s="12">
        <f t="shared" si="1"/>
        <v>0</v>
      </c>
      <c r="G20" s="12">
        <f t="shared" si="2"/>
        <v>0</v>
      </c>
      <c r="H20" s="24">
        <v>0.0</v>
      </c>
      <c r="I20" s="24">
        <f t="shared" si="3"/>
        <v>0</v>
      </c>
      <c r="J20" s="24">
        <f t="shared" si="4"/>
        <v>0</v>
      </c>
      <c r="K20" s="24">
        <v>1.0</v>
      </c>
      <c r="L20" s="12">
        <f t="shared" si="5"/>
        <v>0</v>
      </c>
      <c r="M20" s="12">
        <f t="shared" si="6"/>
        <v>1</v>
      </c>
    </row>
    <row r="21">
      <c r="A21" s="2"/>
      <c r="B21" s="24">
        <v>15.0</v>
      </c>
      <c r="C21" s="24" t="s">
        <v>42</v>
      </c>
      <c r="D21" s="26">
        <v>2026.0</v>
      </c>
      <c r="E21" s="24">
        <v>0.0</v>
      </c>
      <c r="F21" s="12">
        <f t="shared" si="1"/>
        <v>0</v>
      </c>
      <c r="G21" s="12">
        <f t="shared" si="2"/>
        <v>0</v>
      </c>
      <c r="H21" s="24">
        <v>0.0</v>
      </c>
      <c r="I21" s="24">
        <f t="shared" si="3"/>
        <v>0</v>
      </c>
      <c r="J21" s="24">
        <f t="shared" si="4"/>
        <v>0</v>
      </c>
      <c r="K21" s="24">
        <v>1.0</v>
      </c>
      <c r="L21" s="12">
        <f t="shared" si="5"/>
        <v>0</v>
      </c>
      <c r="M21" s="12">
        <f t="shared" si="6"/>
        <v>1</v>
      </c>
    </row>
    <row r="22">
      <c r="A22" s="2"/>
      <c r="B22" s="24">
        <v>16.0</v>
      </c>
      <c r="C22" s="24" t="s">
        <v>43</v>
      </c>
      <c r="D22" s="26">
        <v>2026.0</v>
      </c>
      <c r="E22" s="24">
        <v>0.0</v>
      </c>
      <c r="F22" s="12">
        <f t="shared" si="1"/>
        <v>0</v>
      </c>
      <c r="G22" s="12">
        <f t="shared" si="2"/>
        <v>0</v>
      </c>
      <c r="H22" s="24">
        <v>0.0</v>
      </c>
      <c r="I22" s="24">
        <f t="shared" si="3"/>
        <v>0</v>
      </c>
      <c r="J22" s="24">
        <f t="shared" si="4"/>
        <v>0</v>
      </c>
      <c r="K22" s="24">
        <v>1.0</v>
      </c>
      <c r="L22" s="12">
        <f t="shared" si="5"/>
        <v>0</v>
      </c>
      <c r="M22" s="12">
        <f t="shared" si="6"/>
        <v>1</v>
      </c>
    </row>
    <row r="23">
      <c r="A23" s="2"/>
      <c r="B23" s="24">
        <v>17.0</v>
      </c>
      <c r="C23" s="24" t="s">
        <v>44</v>
      </c>
      <c r="D23" s="26">
        <v>2026.0</v>
      </c>
      <c r="E23" s="24">
        <v>0.0</v>
      </c>
      <c r="F23" s="12">
        <f t="shared" si="1"/>
        <v>0</v>
      </c>
      <c r="G23" s="12">
        <f t="shared" si="2"/>
        <v>0</v>
      </c>
      <c r="H23" s="24">
        <v>0.0</v>
      </c>
      <c r="I23" s="24">
        <f t="shared" si="3"/>
        <v>0</v>
      </c>
      <c r="J23" s="24">
        <f t="shared" si="4"/>
        <v>0</v>
      </c>
      <c r="K23" s="24">
        <v>1.0</v>
      </c>
      <c r="L23" s="12">
        <f t="shared" si="5"/>
        <v>0</v>
      </c>
      <c r="M23" s="12">
        <f t="shared" si="6"/>
        <v>1</v>
      </c>
    </row>
    <row r="24">
      <c r="A24" s="2"/>
      <c r="B24" s="24">
        <v>18.0</v>
      </c>
      <c r="C24" s="24" t="s">
        <v>81</v>
      </c>
      <c r="D24" s="26">
        <v>2026.0</v>
      </c>
      <c r="E24" s="24">
        <v>0.0</v>
      </c>
      <c r="F24" s="12">
        <f t="shared" si="1"/>
        <v>0</v>
      </c>
      <c r="G24" s="12">
        <f t="shared" si="2"/>
        <v>0</v>
      </c>
      <c r="H24" s="24">
        <v>0.0</v>
      </c>
      <c r="I24" s="24">
        <f t="shared" si="3"/>
        <v>0</v>
      </c>
      <c r="J24" s="24">
        <f t="shared" si="4"/>
        <v>0</v>
      </c>
      <c r="K24" s="24">
        <v>1.0</v>
      </c>
      <c r="L24" s="12">
        <f t="shared" si="5"/>
        <v>0</v>
      </c>
      <c r="M24" s="12">
        <f t="shared" si="6"/>
        <v>1</v>
      </c>
    </row>
    <row r="25">
      <c r="A25" s="2"/>
      <c r="B25" s="24">
        <v>19.0</v>
      </c>
      <c r="C25" s="24" t="s">
        <v>46</v>
      </c>
      <c r="D25" s="26">
        <v>2026.0</v>
      </c>
      <c r="E25" s="24">
        <v>0.0</v>
      </c>
      <c r="F25" s="12">
        <f t="shared" si="1"/>
        <v>0</v>
      </c>
      <c r="G25" s="12">
        <f t="shared" si="2"/>
        <v>0</v>
      </c>
      <c r="H25" s="24">
        <v>0.0</v>
      </c>
      <c r="I25" s="24">
        <f t="shared" si="3"/>
        <v>0</v>
      </c>
      <c r="J25" s="24">
        <f t="shared" si="4"/>
        <v>0</v>
      </c>
      <c r="K25" s="24">
        <v>1.0</v>
      </c>
      <c r="L25" s="12">
        <f t="shared" si="5"/>
        <v>0</v>
      </c>
      <c r="M25" s="12">
        <f t="shared" si="6"/>
        <v>1</v>
      </c>
    </row>
    <row r="26">
      <c r="A26" s="2"/>
      <c r="B26" s="24">
        <v>20.0</v>
      </c>
      <c r="C26" s="24" t="s">
        <v>47</v>
      </c>
      <c r="D26" s="26">
        <v>2026.0</v>
      </c>
      <c r="E26" s="24">
        <v>1.0</v>
      </c>
      <c r="F26" s="12">
        <f t="shared" si="1"/>
        <v>0</v>
      </c>
      <c r="G26" s="12">
        <f t="shared" si="2"/>
        <v>1</v>
      </c>
      <c r="H26" s="24">
        <v>0.0</v>
      </c>
      <c r="I26" s="24">
        <f t="shared" si="3"/>
        <v>0</v>
      </c>
      <c r="J26" s="24">
        <f t="shared" si="4"/>
        <v>0</v>
      </c>
      <c r="K26" s="24">
        <v>1.0</v>
      </c>
      <c r="L26" s="12">
        <f t="shared" si="5"/>
        <v>0</v>
      </c>
      <c r="M26" s="12">
        <f t="shared" si="6"/>
        <v>1</v>
      </c>
    </row>
    <row r="27">
      <c r="A27" s="2"/>
      <c r="B27" s="24">
        <v>21.0</v>
      </c>
      <c r="C27" s="24" t="s">
        <v>50</v>
      </c>
      <c r="D27" s="26">
        <v>2025.0</v>
      </c>
      <c r="E27" s="24">
        <v>0.0</v>
      </c>
      <c r="F27" s="12">
        <f t="shared" si="1"/>
        <v>0</v>
      </c>
      <c r="G27" s="12">
        <f t="shared" si="2"/>
        <v>0</v>
      </c>
      <c r="H27" s="24">
        <v>0.0</v>
      </c>
      <c r="I27" s="24">
        <f t="shared" si="3"/>
        <v>0</v>
      </c>
      <c r="J27" s="24">
        <f t="shared" si="4"/>
        <v>0</v>
      </c>
      <c r="K27" s="24">
        <v>1.0</v>
      </c>
      <c r="L27" s="12">
        <f t="shared" si="5"/>
        <v>1</v>
      </c>
      <c r="M27" s="12">
        <f t="shared" si="6"/>
        <v>0</v>
      </c>
    </row>
    <row r="28">
      <c r="A28" s="2"/>
      <c r="B28" s="24">
        <v>22.0</v>
      </c>
      <c r="C28" s="24" t="s">
        <v>52</v>
      </c>
      <c r="D28" s="26">
        <v>2025.0</v>
      </c>
      <c r="E28" s="24">
        <v>0.0</v>
      </c>
      <c r="F28" s="12">
        <f t="shared" si="1"/>
        <v>0</v>
      </c>
      <c r="G28" s="12">
        <f t="shared" si="2"/>
        <v>0</v>
      </c>
      <c r="H28" s="24">
        <v>0.0</v>
      </c>
      <c r="I28" s="24">
        <f t="shared" si="3"/>
        <v>0</v>
      </c>
      <c r="J28" s="24">
        <f t="shared" si="4"/>
        <v>0</v>
      </c>
      <c r="K28" s="24">
        <v>1.0</v>
      </c>
      <c r="L28" s="12">
        <f t="shared" si="5"/>
        <v>1</v>
      </c>
      <c r="M28" s="12">
        <f t="shared" si="6"/>
        <v>0</v>
      </c>
    </row>
    <row r="29">
      <c r="A29" s="2"/>
      <c r="B29" s="24">
        <v>23.0</v>
      </c>
      <c r="C29" s="24" t="s">
        <v>53</v>
      </c>
      <c r="D29" s="26">
        <v>2025.0</v>
      </c>
      <c r="E29" s="24">
        <v>0.0</v>
      </c>
      <c r="F29" s="12">
        <f t="shared" si="1"/>
        <v>0</v>
      </c>
      <c r="G29" s="12">
        <f t="shared" si="2"/>
        <v>0</v>
      </c>
      <c r="H29" s="24">
        <v>0.0</v>
      </c>
      <c r="I29" s="24">
        <f t="shared" si="3"/>
        <v>0</v>
      </c>
      <c r="J29" s="24">
        <f t="shared" si="4"/>
        <v>0</v>
      </c>
      <c r="K29" s="24">
        <v>1.0</v>
      </c>
      <c r="L29" s="12">
        <f t="shared" si="5"/>
        <v>1</v>
      </c>
      <c r="M29" s="12">
        <f t="shared" si="6"/>
        <v>0</v>
      </c>
    </row>
    <row r="30">
      <c r="A30" s="2"/>
      <c r="B30" s="24">
        <v>24.0</v>
      </c>
      <c r="C30" s="24" t="s">
        <v>82</v>
      </c>
      <c r="D30" s="26">
        <v>2026.0</v>
      </c>
      <c r="E30" s="24">
        <v>0.0</v>
      </c>
      <c r="F30" s="12">
        <f t="shared" si="1"/>
        <v>0</v>
      </c>
      <c r="G30" s="12">
        <f t="shared" si="2"/>
        <v>0</v>
      </c>
      <c r="H30" s="24">
        <v>0.0</v>
      </c>
      <c r="I30" s="24">
        <f t="shared" si="3"/>
        <v>0</v>
      </c>
      <c r="J30" s="24">
        <f t="shared" si="4"/>
        <v>0</v>
      </c>
      <c r="K30" s="24">
        <v>1.0</v>
      </c>
      <c r="L30" s="12">
        <f t="shared" si="5"/>
        <v>0</v>
      </c>
      <c r="M30" s="12">
        <f t="shared" si="6"/>
        <v>1</v>
      </c>
    </row>
    <row r="31">
      <c r="A31" s="2"/>
      <c r="B31" s="24">
        <v>25.0</v>
      </c>
      <c r="C31" s="24" t="s">
        <v>54</v>
      </c>
      <c r="D31" s="26">
        <v>2026.0</v>
      </c>
      <c r="E31" s="24">
        <v>0.0</v>
      </c>
      <c r="F31" s="12">
        <f t="shared" si="1"/>
        <v>0</v>
      </c>
      <c r="G31" s="12">
        <f t="shared" si="2"/>
        <v>0</v>
      </c>
      <c r="H31" s="24">
        <v>0.0</v>
      </c>
      <c r="I31" s="24">
        <f t="shared" si="3"/>
        <v>0</v>
      </c>
      <c r="J31" s="24">
        <f t="shared" si="4"/>
        <v>0</v>
      </c>
      <c r="K31" s="24">
        <v>1.0</v>
      </c>
      <c r="L31" s="12">
        <f t="shared" si="5"/>
        <v>0</v>
      </c>
      <c r="M31" s="12">
        <f t="shared" si="6"/>
        <v>1</v>
      </c>
    </row>
    <row r="32">
      <c r="A32" s="2"/>
      <c r="B32" s="24">
        <v>26.0</v>
      </c>
      <c r="C32" s="24" t="s">
        <v>56</v>
      </c>
      <c r="D32" s="26">
        <v>2026.0</v>
      </c>
      <c r="E32" s="24">
        <v>0.0</v>
      </c>
      <c r="F32" s="12">
        <f t="shared" si="1"/>
        <v>0</v>
      </c>
      <c r="G32" s="12">
        <f t="shared" si="2"/>
        <v>0</v>
      </c>
      <c r="H32" s="24">
        <v>0.0</v>
      </c>
      <c r="I32" s="24">
        <f t="shared" si="3"/>
        <v>0</v>
      </c>
      <c r="J32" s="24">
        <f t="shared" si="4"/>
        <v>0</v>
      </c>
      <c r="K32" s="24">
        <v>1.0</v>
      </c>
      <c r="L32" s="12">
        <f t="shared" si="5"/>
        <v>0</v>
      </c>
      <c r="M32" s="12">
        <f t="shared" si="6"/>
        <v>1</v>
      </c>
    </row>
    <row r="33">
      <c r="A33" s="2"/>
      <c r="B33" s="24">
        <v>27.0</v>
      </c>
      <c r="C33" s="24" t="s">
        <v>57</v>
      </c>
      <c r="D33" s="26">
        <v>2026.0</v>
      </c>
      <c r="E33" s="24">
        <v>0.0</v>
      </c>
      <c r="F33" s="12">
        <f t="shared" si="1"/>
        <v>0</v>
      </c>
      <c r="G33" s="12">
        <f t="shared" si="2"/>
        <v>0</v>
      </c>
      <c r="H33" s="24">
        <v>0.0</v>
      </c>
      <c r="I33" s="24">
        <f t="shared" si="3"/>
        <v>0</v>
      </c>
      <c r="J33" s="24">
        <f t="shared" si="4"/>
        <v>0</v>
      </c>
      <c r="K33" s="24">
        <v>1.0</v>
      </c>
      <c r="L33" s="12">
        <f t="shared" si="5"/>
        <v>0</v>
      </c>
      <c r="M33" s="12">
        <f t="shared" si="6"/>
        <v>1</v>
      </c>
    </row>
    <row r="34">
      <c r="A34" s="2"/>
      <c r="B34" s="24">
        <v>28.0</v>
      </c>
      <c r="C34" s="24" t="s">
        <v>59</v>
      </c>
      <c r="D34" s="26">
        <v>2025.0</v>
      </c>
      <c r="E34" s="24">
        <v>0.0</v>
      </c>
      <c r="F34" s="12">
        <f t="shared" si="1"/>
        <v>0</v>
      </c>
      <c r="G34" s="12">
        <f t="shared" si="2"/>
        <v>0</v>
      </c>
      <c r="H34" s="24">
        <v>0.0</v>
      </c>
      <c r="I34" s="24">
        <f t="shared" si="3"/>
        <v>0</v>
      </c>
      <c r="J34" s="24">
        <f t="shared" si="4"/>
        <v>0</v>
      </c>
      <c r="K34" s="24">
        <v>1.0</v>
      </c>
      <c r="L34" s="12">
        <f t="shared" si="5"/>
        <v>1</v>
      </c>
      <c r="M34" s="12">
        <f t="shared" si="6"/>
        <v>0</v>
      </c>
    </row>
    <row r="35">
      <c r="A35" s="2"/>
      <c r="B35" s="24">
        <v>29.0</v>
      </c>
      <c r="C35" s="24" t="s">
        <v>83</v>
      </c>
      <c r="D35" s="26">
        <v>2026.0</v>
      </c>
      <c r="E35" s="24">
        <v>0.0</v>
      </c>
      <c r="F35" s="12">
        <f t="shared" si="1"/>
        <v>0</v>
      </c>
      <c r="G35" s="12">
        <f t="shared" si="2"/>
        <v>0</v>
      </c>
      <c r="H35" s="24">
        <v>0.0</v>
      </c>
      <c r="I35" s="24">
        <f t="shared" si="3"/>
        <v>0</v>
      </c>
      <c r="J35" s="24">
        <f t="shared" si="4"/>
        <v>0</v>
      </c>
      <c r="K35" s="24">
        <v>1.0</v>
      </c>
      <c r="L35" s="12">
        <f t="shared" si="5"/>
        <v>0</v>
      </c>
      <c r="M35" s="12">
        <f t="shared" si="6"/>
        <v>1</v>
      </c>
    </row>
    <row r="36">
      <c r="A36" s="2"/>
      <c r="B36" s="24">
        <v>30.0</v>
      </c>
      <c r="C36" s="24" t="s">
        <v>61</v>
      </c>
      <c r="D36" s="26">
        <v>2026.0</v>
      </c>
      <c r="E36" s="24">
        <v>0.0</v>
      </c>
      <c r="F36" s="12">
        <f t="shared" si="1"/>
        <v>0</v>
      </c>
      <c r="G36" s="12">
        <f t="shared" si="2"/>
        <v>0</v>
      </c>
      <c r="H36" s="24">
        <v>0.0</v>
      </c>
      <c r="I36" s="24">
        <f t="shared" si="3"/>
        <v>0</v>
      </c>
      <c r="J36" s="24">
        <f t="shared" si="4"/>
        <v>0</v>
      </c>
      <c r="K36" s="24">
        <v>1.0</v>
      </c>
      <c r="L36" s="12">
        <f t="shared" si="5"/>
        <v>0</v>
      </c>
      <c r="M36" s="12">
        <f t="shared" si="6"/>
        <v>1</v>
      </c>
    </row>
    <row r="37">
      <c r="A37" s="2"/>
      <c r="B37" s="24">
        <v>31.0</v>
      </c>
      <c r="C37" s="24" t="s">
        <v>84</v>
      </c>
      <c r="D37" s="26">
        <v>2025.0</v>
      </c>
      <c r="E37" s="24">
        <v>0.0</v>
      </c>
      <c r="F37" s="12">
        <f t="shared" si="1"/>
        <v>0</v>
      </c>
      <c r="G37" s="12">
        <f t="shared" si="2"/>
        <v>0</v>
      </c>
      <c r="H37" s="24">
        <v>0.0</v>
      </c>
      <c r="I37" s="24">
        <f t="shared" si="3"/>
        <v>0</v>
      </c>
      <c r="J37" s="24">
        <f t="shared" si="4"/>
        <v>0</v>
      </c>
      <c r="K37" s="24">
        <v>1.0</v>
      </c>
      <c r="L37" s="12">
        <f t="shared" si="5"/>
        <v>1</v>
      </c>
      <c r="M37" s="12">
        <f t="shared" si="6"/>
        <v>0</v>
      </c>
    </row>
    <row r="38">
      <c r="A38" s="2"/>
      <c r="B38" s="24">
        <v>32.0</v>
      </c>
      <c r="C38" s="24" t="s">
        <v>62</v>
      </c>
      <c r="D38" s="26">
        <v>2026.0</v>
      </c>
      <c r="E38" s="24">
        <v>0.0</v>
      </c>
      <c r="F38" s="12">
        <f t="shared" si="1"/>
        <v>0</v>
      </c>
      <c r="G38" s="12">
        <f t="shared" si="2"/>
        <v>0</v>
      </c>
      <c r="H38" s="24">
        <v>0.0</v>
      </c>
      <c r="I38" s="24">
        <f t="shared" si="3"/>
        <v>0</v>
      </c>
      <c r="J38" s="24">
        <f t="shared" si="4"/>
        <v>0</v>
      </c>
      <c r="K38" s="24">
        <v>1.0</v>
      </c>
      <c r="L38" s="12">
        <f t="shared" si="5"/>
        <v>0</v>
      </c>
      <c r="M38" s="12">
        <f t="shared" si="6"/>
        <v>1</v>
      </c>
    </row>
    <row r="39">
      <c r="A39" s="2"/>
      <c r="B39" s="24">
        <v>33.0</v>
      </c>
      <c r="C39" s="24" t="s">
        <v>64</v>
      </c>
      <c r="D39" s="26">
        <v>2026.0</v>
      </c>
      <c r="E39" s="24">
        <v>0.0</v>
      </c>
      <c r="F39" s="12">
        <f t="shared" si="1"/>
        <v>0</v>
      </c>
      <c r="G39" s="12">
        <f t="shared" si="2"/>
        <v>0</v>
      </c>
      <c r="H39" s="24">
        <v>0.0</v>
      </c>
      <c r="I39" s="24">
        <f t="shared" si="3"/>
        <v>0</v>
      </c>
      <c r="J39" s="24">
        <f t="shared" si="4"/>
        <v>0</v>
      </c>
      <c r="K39" s="24">
        <v>1.0</v>
      </c>
      <c r="L39" s="12">
        <f t="shared" si="5"/>
        <v>0</v>
      </c>
      <c r="M39" s="12">
        <f t="shared" si="6"/>
        <v>1</v>
      </c>
    </row>
    <row r="40">
      <c r="A40" s="2"/>
      <c r="B40" s="24">
        <v>34.0</v>
      </c>
      <c r="C40" s="24" t="s">
        <v>65</v>
      </c>
      <c r="D40" s="26">
        <v>2026.0</v>
      </c>
      <c r="E40" s="24">
        <v>0.0</v>
      </c>
      <c r="F40" s="12">
        <f t="shared" si="1"/>
        <v>0</v>
      </c>
      <c r="G40" s="12">
        <f t="shared" si="2"/>
        <v>0</v>
      </c>
      <c r="H40" s="24">
        <v>0.0</v>
      </c>
      <c r="I40" s="24">
        <f t="shared" si="3"/>
        <v>0</v>
      </c>
      <c r="J40" s="24">
        <f t="shared" si="4"/>
        <v>0</v>
      </c>
      <c r="K40" s="24">
        <v>1.0</v>
      </c>
      <c r="L40" s="12">
        <f t="shared" si="5"/>
        <v>0</v>
      </c>
      <c r="M40" s="12">
        <f t="shared" si="6"/>
        <v>1</v>
      </c>
    </row>
    <row r="41">
      <c r="A41" s="2"/>
      <c r="B41" s="24">
        <v>35.0</v>
      </c>
      <c r="C41" s="24" t="s">
        <v>85</v>
      </c>
      <c r="D41" s="26">
        <v>2025.0</v>
      </c>
      <c r="E41" s="24">
        <v>0.0</v>
      </c>
      <c r="F41" s="12">
        <f t="shared" si="1"/>
        <v>0</v>
      </c>
      <c r="G41" s="12">
        <f t="shared" si="2"/>
        <v>0</v>
      </c>
      <c r="H41" s="24">
        <v>0.0</v>
      </c>
      <c r="I41" s="24">
        <f t="shared" si="3"/>
        <v>0</v>
      </c>
      <c r="J41" s="24">
        <f t="shared" si="4"/>
        <v>0</v>
      </c>
      <c r="K41" s="24">
        <v>1.0</v>
      </c>
      <c r="L41" s="12">
        <f t="shared" si="5"/>
        <v>1</v>
      </c>
      <c r="M41" s="12">
        <f t="shared" si="6"/>
        <v>0</v>
      </c>
    </row>
    <row r="42">
      <c r="A42" s="2"/>
      <c r="B42" s="24">
        <v>36.0</v>
      </c>
      <c r="C42" s="24" t="s">
        <v>66</v>
      </c>
      <c r="D42" s="26">
        <v>2026.0</v>
      </c>
      <c r="E42" s="24">
        <v>0.0</v>
      </c>
      <c r="F42" s="12">
        <f t="shared" si="1"/>
        <v>0</v>
      </c>
      <c r="G42" s="12">
        <f t="shared" si="2"/>
        <v>0</v>
      </c>
      <c r="H42" s="24">
        <v>0.0</v>
      </c>
      <c r="I42" s="24">
        <f t="shared" si="3"/>
        <v>0</v>
      </c>
      <c r="J42" s="24">
        <f t="shared" si="4"/>
        <v>0</v>
      </c>
      <c r="K42" s="24">
        <v>1.0</v>
      </c>
      <c r="L42" s="12">
        <f t="shared" si="5"/>
        <v>0</v>
      </c>
      <c r="M42" s="12">
        <f t="shared" si="6"/>
        <v>1</v>
      </c>
    </row>
    <row r="43">
      <c r="A43" s="2"/>
      <c r="B43" s="24">
        <v>37.0</v>
      </c>
      <c r="C43" s="24" t="s">
        <v>67</v>
      </c>
      <c r="D43" s="26">
        <v>2025.0</v>
      </c>
      <c r="E43" s="24">
        <v>1.0</v>
      </c>
      <c r="F43" s="12">
        <f t="shared" si="1"/>
        <v>1</v>
      </c>
      <c r="G43" s="12">
        <f t="shared" si="2"/>
        <v>0</v>
      </c>
      <c r="H43" s="24">
        <v>0.0</v>
      </c>
      <c r="I43" s="24">
        <f t="shared" si="3"/>
        <v>0</v>
      </c>
      <c r="J43" s="24">
        <f t="shared" si="4"/>
        <v>0</v>
      </c>
      <c r="K43" s="24">
        <v>1.0</v>
      </c>
      <c r="L43" s="12">
        <f t="shared" si="5"/>
        <v>1</v>
      </c>
      <c r="M43" s="12">
        <f t="shared" si="6"/>
        <v>0</v>
      </c>
    </row>
    <row r="44">
      <c r="A44" s="2"/>
      <c r="B44" s="24">
        <v>38.0</v>
      </c>
      <c r="C44" s="24" t="s">
        <v>86</v>
      </c>
      <c r="D44" s="26">
        <v>2025.0</v>
      </c>
      <c r="E44" s="24">
        <v>0.0</v>
      </c>
      <c r="F44" s="12">
        <f t="shared" si="1"/>
        <v>0</v>
      </c>
      <c r="G44" s="12">
        <f t="shared" si="2"/>
        <v>0</v>
      </c>
      <c r="H44" s="24">
        <v>0.0</v>
      </c>
      <c r="I44" s="24">
        <f t="shared" si="3"/>
        <v>0</v>
      </c>
      <c r="J44" s="24">
        <f t="shared" si="4"/>
        <v>0</v>
      </c>
      <c r="K44" s="24">
        <v>1.0</v>
      </c>
      <c r="L44" s="12">
        <f t="shared" si="5"/>
        <v>1</v>
      </c>
      <c r="M44" s="12">
        <f t="shared" si="6"/>
        <v>0</v>
      </c>
    </row>
    <row r="45">
      <c r="A45" s="2"/>
      <c r="B45" s="24">
        <v>39.0</v>
      </c>
      <c r="C45" s="24" t="s">
        <v>87</v>
      </c>
      <c r="D45" s="26">
        <v>2026.0</v>
      </c>
      <c r="E45" s="24">
        <v>0.0</v>
      </c>
      <c r="F45" s="12">
        <f t="shared" si="1"/>
        <v>0</v>
      </c>
      <c r="G45" s="12">
        <f t="shared" si="2"/>
        <v>0</v>
      </c>
      <c r="H45" s="24">
        <v>0.0</v>
      </c>
      <c r="I45" s="24">
        <f t="shared" si="3"/>
        <v>0</v>
      </c>
      <c r="J45" s="24">
        <f t="shared" si="4"/>
        <v>0</v>
      </c>
      <c r="K45" s="24">
        <v>1.0</v>
      </c>
      <c r="L45" s="12">
        <f t="shared" si="5"/>
        <v>0</v>
      </c>
      <c r="M45" s="12">
        <f t="shared" si="6"/>
        <v>1</v>
      </c>
    </row>
    <row r="46">
      <c r="A46" s="2"/>
      <c r="B46" s="24">
        <v>40.0</v>
      </c>
      <c r="C46" s="24" t="s">
        <v>69</v>
      </c>
      <c r="D46" s="26">
        <v>2025.0</v>
      </c>
      <c r="E46" s="24">
        <v>0.0</v>
      </c>
      <c r="F46" s="12">
        <f t="shared" si="1"/>
        <v>0</v>
      </c>
      <c r="G46" s="12">
        <f t="shared" si="2"/>
        <v>0</v>
      </c>
      <c r="H46" s="24">
        <v>0.0</v>
      </c>
      <c r="I46" s="24">
        <f t="shared" si="3"/>
        <v>0</v>
      </c>
      <c r="J46" s="24">
        <f t="shared" si="4"/>
        <v>0</v>
      </c>
      <c r="K46" s="24">
        <v>1.0</v>
      </c>
      <c r="L46" s="12">
        <f t="shared" si="5"/>
        <v>1</v>
      </c>
      <c r="M46" s="12">
        <f t="shared" si="6"/>
        <v>0</v>
      </c>
    </row>
    <row r="47">
      <c r="A47" s="2"/>
      <c r="B47" s="24">
        <v>41.0</v>
      </c>
      <c r="C47" s="24" t="s">
        <v>70</v>
      </c>
      <c r="D47" s="26">
        <v>2025.0</v>
      </c>
      <c r="E47" s="24">
        <v>0.0</v>
      </c>
      <c r="F47" s="12">
        <f t="shared" si="1"/>
        <v>0</v>
      </c>
      <c r="G47" s="12">
        <f t="shared" si="2"/>
        <v>0</v>
      </c>
      <c r="H47" s="24">
        <v>0.0</v>
      </c>
      <c r="I47" s="24">
        <f t="shared" si="3"/>
        <v>0</v>
      </c>
      <c r="J47" s="24">
        <f t="shared" si="4"/>
        <v>0</v>
      </c>
      <c r="K47" s="24">
        <v>1.0</v>
      </c>
      <c r="L47" s="12">
        <f t="shared" si="5"/>
        <v>1</v>
      </c>
      <c r="M47" s="12">
        <f t="shared" si="6"/>
        <v>0</v>
      </c>
    </row>
    <row r="48">
      <c r="A48" s="2"/>
      <c r="B48" s="24">
        <v>42.0</v>
      </c>
      <c r="C48" s="24" t="s">
        <v>72</v>
      </c>
      <c r="D48" s="26">
        <v>2025.0</v>
      </c>
      <c r="E48" s="24">
        <v>0.0</v>
      </c>
      <c r="F48" s="12">
        <f t="shared" si="1"/>
        <v>0</v>
      </c>
      <c r="G48" s="12">
        <f t="shared" si="2"/>
        <v>0</v>
      </c>
      <c r="H48" s="24">
        <v>0.0</v>
      </c>
      <c r="I48" s="24">
        <f t="shared" si="3"/>
        <v>0</v>
      </c>
      <c r="J48" s="24">
        <f t="shared" si="4"/>
        <v>0</v>
      </c>
      <c r="K48" s="24">
        <v>1.0</v>
      </c>
      <c r="L48" s="12">
        <f t="shared" si="5"/>
        <v>1</v>
      </c>
      <c r="M48" s="12">
        <f t="shared" si="6"/>
        <v>0</v>
      </c>
    </row>
    <row r="49">
      <c r="A49" s="2"/>
      <c r="B49" s="24">
        <v>43.0</v>
      </c>
      <c r="C49" s="24" t="s">
        <v>73</v>
      </c>
      <c r="D49" s="26">
        <v>2025.0</v>
      </c>
      <c r="E49" s="24">
        <v>0.0</v>
      </c>
      <c r="F49" s="12">
        <f t="shared" si="1"/>
        <v>0</v>
      </c>
      <c r="G49" s="12">
        <f t="shared" si="2"/>
        <v>0</v>
      </c>
      <c r="H49" s="24">
        <v>0.0</v>
      </c>
      <c r="I49" s="24">
        <f t="shared" si="3"/>
        <v>0</v>
      </c>
      <c r="J49" s="24">
        <f t="shared" si="4"/>
        <v>0</v>
      </c>
      <c r="K49" s="24">
        <v>1.0</v>
      </c>
      <c r="L49" s="12">
        <f t="shared" si="5"/>
        <v>1</v>
      </c>
      <c r="M49" s="12">
        <f t="shared" si="6"/>
        <v>0</v>
      </c>
    </row>
    <row r="50">
      <c r="A50" s="2"/>
      <c r="B50" s="24">
        <v>44.0</v>
      </c>
      <c r="C50" s="24" t="s">
        <v>74</v>
      </c>
      <c r="D50" s="26">
        <v>2026.0</v>
      </c>
      <c r="E50" s="24">
        <v>0.0</v>
      </c>
      <c r="F50" s="12">
        <f t="shared" si="1"/>
        <v>0</v>
      </c>
      <c r="G50" s="12">
        <f t="shared" si="2"/>
        <v>0</v>
      </c>
      <c r="H50" s="24">
        <v>0.0</v>
      </c>
      <c r="I50" s="24">
        <f t="shared" si="3"/>
        <v>0</v>
      </c>
      <c r="J50" s="24">
        <f t="shared" si="4"/>
        <v>0</v>
      </c>
      <c r="K50" s="24">
        <v>1.0</v>
      </c>
      <c r="L50" s="12">
        <f t="shared" si="5"/>
        <v>0</v>
      </c>
      <c r="M50" s="12">
        <f t="shared" si="6"/>
        <v>1</v>
      </c>
    </row>
    <row r="51">
      <c r="A51" s="2"/>
      <c r="B51" s="24">
        <v>45.0</v>
      </c>
      <c r="C51" s="24" t="s">
        <v>75</v>
      </c>
      <c r="D51" s="26">
        <v>2026.0</v>
      </c>
      <c r="E51" s="24">
        <v>0.0</v>
      </c>
      <c r="F51" s="12">
        <f t="shared" si="1"/>
        <v>0</v>
      </c>
      <c r="G51" s="12">
        <f t="shared" si="2"/>
        <v>0</v>
      </c>
      <c r="H51" s="24">
        <v>0.0</v>
      </c>
      <c r="I51" s="24">
        <f t="shared" si="3"/>
        <v>0</v>
      </c>
      <c r="J51" s="24">
        <f t="shared" si="4"/>
        <v>0</v>
      </c>
      <c r="K51" s="24">
        <v>1.0</v>
      </c>
      <c r="L51" s="12">
        <f t="shared" si="5"/>
        <v>0</v>
      </c>
      <c r="M51" s="12">
        <f t="shared" si="6"/>
        <v>1</v>
      </c>
    </row>
    <row r="52">
      <c r="A52" s="2"/>
      <c r="B52" s="24">
        <v>46.0</v>
      </c>
      <c r="C52" s="24" t="s">
        <v>77</v>
      </c>
      <c r="D52" s="26">
        <v>2026.0</v>
      </c>
      <c r="E52" s="24">
        <v>0.0</v>
      </c>
      <c r="F52" s="12">
        <f t="shared" si="1"/>
        <v>0</v>
      </c>
      <c r="G52" s="12">
        <f t="shared" si="2"/>
        <v>0</v>
      </c>
      <c r="H52" s="24">
        <v>0.0</v>
      </c>
      <c r="I52" s="24">
        <f t="shared" si="3"/>
        <v>0</v>
      </c>
      <c r="J52" s="24">
        <f t="shared" si="4"/>
        <v>0</v>
      </c>
      <c r="K52" s="24">
        <v>1.0</v>
      </c>
      <c r="L52" s="12">
        <f t="shared" si="5"/>
        <v>0</v>
      </c>
      <c r="M52" s="12">
        <f t="shared" si="6"/>
        <v>1</v>
      </c>
    </row>
    <row r="53">
      <c r="A53" s="2"/>
      <c r="B53" s="24">
        <v>47.0</v>
      </c>
      <c r="C53" s="24" t="s">
        <v>78</v>
      </c>
      <c r="D53" s="26">
        <v>2025.0</v>
      </c>
      <c r="E53" s="24">
        <v>0.0</v>
      </c>
      <c r="F53" s="12">
        <f t="shared" si="1"/>
        <v>0</v>
      </c>
      <c r="G53" s="12">
        <f t="shared" si="2"/>
        <v>0</v>
      </c>
      <c r="H53" s="24">
        <v>0.0</v>
      </c>
      <c r="I53" s="24">
        <f t="shared" si="3"/>
        <v>0</v>
      </c>
      <c r="J53" s="24">
        <f t="shared" si="4"/>
        <v>0</v>
      </c>
      <c r="K53" s="24">
        <v>1.0</v>
      </c>
      <c r="L53" s="12">
        <f t="shared" si="5"/>
        <v>1</v>
      </c>
      <c r="M53" s="12">
        <f t="shared" si="6"/>
        <v>0</v>
      </c>
    </row>
    <row r="54">
      <c r="A54" s="2"/>
      <c r="B54" s="24">
        <v>48.0</v>
      </c>
      <c r="C54" s="24" t="s">
        <v>79</v>
      </c>
      <c r="D54" s="26">
        <v>2025.0</v>
      </c>
      <c r="E54" s="24">
        <v>0.0</v>
      </c>
      <c r="F54" s="12">
        <f t="shared" si="1"/>
        <v>0</v>
      </c>
      <c r="G54" s="12">
        <f t="shared" si="2"/>
        <v>0</v>
      </c>
      <c r="H54" s="24">
        <v>0.0</v>
      </c>
      <c r="I54" s="24">
        <f t="shared" si="3"/>
        <v>0</v>
      </c>
      <c r="J54" s="24">
        <f t="shared" si="4"/>
        <v>0</v>
      </c>
      <c r="K54" s="24">
        <v>1.0</v>
      </c>
      <c r="L54" s="12">
        <f t="shared" si="5"/>
        <v>1</v>
      </c>
      <c r="M54" s="12">
        <f t="shared" si="6"/>
        <v>0</v>
      </c>
    </row>
    <row r="55">
      <c r="A55" s="2"/>
      <c r="B55" s="24">
        <v>49.0</v>
      </c>
      <c r="C55" s="24" t="s">
        <v>80</v>
      </c>
      <c r="D55" s="26">
        <v>2025.0</v>
      </c>
      <c r="E55" s="24">
        <v>0.0</v>
      </c>
      <c r="F55" s="12">
        <f t="shared" si="1"/>
        <v>0</v>
      </c>
      <c r="G55" s="12">
        <f t="shared" si="2"/>
        <v>0</v>
      </c>
      <c r="H55" s="24">
        <v>0.0</v>
      </c>
      <c r="I55" s="24">
        <f t="shared" si="3"/>
        <v>0</v>
      </c>
      <c r="J55" s="24">
        <f t="shared" si="4"/>
        <v>0</v>
      </c>
      <c r="K55" s="24">
        <v>1.0</v>
      </c>
      <c r="L55" s="12">
        <f t="shared" si="5"/>
        <v>1</v>
      </c>
      <c r="M55" s="12">
        <f t="shared" si="6"/>
        <v>0</v>
      </c>
    </row>
    <row r="56">
      <c r="A56" s="2"/>
      <c r="B56" s="24">
        <v>50.0</v>
      </c>
      <c r="C56" s="24" t="s">
        <v>88</v>
      </c>
      <c r="D56" s="26">
        <v>2025.0</v>
      </c>
      <c r="E56" s="24">
        <v>0.0</v>
      </c>
      <c r="F56" s="12">
        <f t="shared" si="1"/>
        <v>0</v>
      </c>
      <c r="G56" s="12">
        <f t="shared" si="2"/>
        <v>0</v>
      </c>
      <c r="H56" s="24">
        <v>0.0</v>
      </c>
      <c r="I56" s="24">
        <f t="shared" si="3"/>
        <v>0</v>
      </c>
      <c r="J56" s="24">
        <f t="shared" si="4"/>
        <v>0</v>
      </c>
      <c r="K56" s="24">
        <v>1.0</v>
      </c>
      <c r="L56" s="12">
        <f t="shared" si="5"/>
        <v>1</v>
      </c>
      <c r="M56" s="12">
        <f t="shared" si="6"/>
        <v>0</v>
      </c>
    </row>
    <row r="57">
      <c r="A57" s="5"/>
      <c r="B57" s="34" t="s">
        <v>89</v>
      </c>
      <c r="C57" s="14"/>
      <c r="D57" s="17"/>
      <c r="E57" s="35">
        <f t="shared" ref="E57:M57" si="7">countif(E7:E56, "=1")</f>
        <v>2</v>
      </c>
      <c r="F57" s="35">
        <f t="shared" si="7"/>
        <v>1</v>
      </c>
      <c r="G57" s="35">
        <f t="shared" si="7"/>
        <v>1</v>
      </c>
      <c r="H57" s="35">
        <f t="shared" si="7"/>
        <v>0</v>
      </c>
      <c r="I57" s="35">
        <f t="shared" si="7"/>
        <v>0</v>
      </c>
      <c r="J57" s="35">
        <f t="shared" si="7"/>
        <v>0</v>
      </c>
      <c r="K57" s="35">
        <f t="shared" si="7"/>
        <v>49</v>
      </c>
      <c r="L57" s="35">
        <f t="shared" si="7"/>
        <v>20</v>
      </c>
      <c r="M57" s="35">
        <f t="shared" si="7"/>
        <v>29</v>
      </c>
    </row>
    <row r="58">
      <c r="A58" s="5"/>
      <c r="B58" s="34" t="s">
        <v>6</v>
      </c>
      <c r="C58" s="14"/>
      <c r="D58" s="17"/>
      <c r="E58" s="36">
        <f>IFERROR(__xludf.DUMMYFUNCTION("PERCENTIF(E7:E56, ""=1"")"),0.04)</f>
        <v>0.04</v>
      </c>
      <c r="F58" s="36">
        <f>IFERROR(__xludf.DUMMYFUNCTION("PERCENTIF(F7:F56, ""=1"")"),0.02)</f>
        <v>0.02</v>
      </c>
      <c r="G58" s="36">
        <f>IFERROR(__xludf.DUMMYFUNCTION("PERCENTIF(G7:G56, ""=1"")"),0.02)</f>
        <v>0.02</v>
      </c>
      <c r="H58" s="36">
        <f>IFERROR(__xludf.DUMMYFUNCTION("PERCENTIF(H7:H56, ""=1"")"),0.0)</f>
        <v>0</v>
      </c>
      <c r="I58" s="36">
        <f>IFERROR(__xludf.DUMMYFUNCTION("PERCENTIF(I7:I56, ""=1"")"),0.0)</f>
        <v>0</v>
      </c>
      <c r="J58" s="36">
        <f>IFERROR(__xludf.DUMMYFUNCTION("PERCENTIF(J7:J56, ""=1"")"),0.0)</f>
        <v>0</v>
      </c>
      <c r="K58" s="36">
        <f>IFERROR(__xludf.DUMMYFUNCTION("PERCENTIF(K7:K56, ""=1"")"),0.98)</f>
        <v>0.98</v>
      </c>
      <c r="L58" s="36">
        <f>IFERROR(__xludf.DUMMYFUNCTION("PERCENTIF(L7:L56, ""=1"")"),0.4)</f>
        <v>0.4</v>
      </c>
      <c r="M58" s="36">
        <f>IFERROR(__xludf.DUMMYFUNCTION("PERCENTIF(M7:M56, ""=1"")"),0.58)</f>
        <v>0.58</v>
      </c>
    </row>
  </sheetData>
  <mergeCells count="14">
    <mergeCell ref="D4:D6"/>
    <mergeCell ref="E5:E6"/>
    <mergeCell ref="H4:J4"/>
    <mergeCell ref="I5:J5"/>
    <mergeCell ref="K4:M4"/>
    <mergeCell ref="L5:M5"/>
    <mergeCell ref="B57:D57"/>
    <mergeCell ref="B58:D58"/>
    <mergeCell ref="B4:B6"/>
    <mergeCell ref="C4:C6"/>
    <mergeCell ref="E4:G4"/>
    <mergeCell ref="F5:G5"/>
    <mergeCell ref="H5:H6"/>
    <mergeCell ref="K5:K6"/>
  </mergeCells>
  <drawing r:id="rId1"/>
</worksheet>
</file>